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4_projects\项目文档\excel版遥测大表草稿\"/>
    </mc:Choice>
  </mc:AlternateContent>
  <xr:revisionPtr revIDLastSave="0" documentId="13_ncr:1_{DE6C3F3F-7411-48C8-BE44-0633DD54D1D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固定地址参数注入1" sheetId="1" r:id="rId1"/>
    <sheet name="帧格式参考(CCSDS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8" i="3"/>
  <c r="C3" i="3"/>
  <c r="F3" i="1"/>
  <c r="C10" i="3" l="1"/>
  <c r="C4" i="3"/>
  <c r="C5" i="3"/>
  <c r="C6" i="3" s="1"/>
  <c r="C7" i="3" s="1"/>
  <c r="F4" i="1"/>
  <c r="F5" i="1" l="1"/>
  <c r="F6" i="1" l="1"/>
  <c r="F7" i="1" l="1"/>
  <c r="F8" i="1" l="1"/>
  <c r="F9" i="1" l="1"/>
  <c r="F10" i="1" l="1"/>
  <c r="F11" i="1" l="1"/>
  <c r="F12" i="1" l="1"/>
  <c r="F13" i="1" l="1"/>
  <c r="F14" i="1" l="1"/>
  <c r="F15" i="1" l="1"/>
  <c r="F16" i="1" l="1"/>
  <c r="F17" i="1" l="1"/>
  <c r="F18" i="1" l="1"/>
  <c r="F19" i="1" l="1"/>
  <c r="F20" i="1" l="1"/>
  <c r="F21" i="1" l="1"/>
  <c r="F22" i="1" l="1"/>
  <c r="F23" i="1" l="1"/>
  <c r="F24" i="1" l="1"/>
  <c r="F25" i="1" l="1"/>
  <c r="F26" i="1" l="1"/>
  <c r="F27" i="1" l="1"/>
  <c r="F28" i="1" l="1"/>
  <c r="F29" i="1" l="1"/>
  <c r="F30" i="1" l="1"/>
  <c r="F31" i="1" l="1"/>
  <c r="F32" i="1" l="1"/>
  <c r="F33" i="1" l="1"/>
  <c r="F34" i="1" l="1"/>
  <c r="F35" i="1" l="1"/>
  <c r="F36" i="1" l="1"/>
  <c r="F37" i="1" l="1"/>
  <c r="F38" i="1" l="1"/>
  <c r="F39" i="1" l="1"/>
  <c r="F40" i="1" l="1"/>
  <c r="F41" i="1" l="1"/>
  <c r="F42" i="1" l="1"/>
  <c r="F43" i="1" l="1"/>
  <c r="F44" i="1" l="1"/>
  <c r="F45" i="1" l="1"/>
  <c r="F46" i="1" l="1"/>
  <c r="F47" i="1" l="1"/>
  <c r="F48" i="1" l="1"/>
  <c r="F49" i="1" l="1"/>
  <c r="F50" i="1" l="1"/>
  <c r="F51" i="1" l="1"/>
  <c r="F52" i="1" l="1"/>
  <c r="F53" i="1" l="1"/>
  <c r="F54" i="1" l="1"/>
  <c r="F55" i="1" l="1"/>
  <c r="F56" i="1" l="1"/>
  <c r="F57" i="1" l="1"/>
  <c r="F58" i="1" l="1"/>
</calcChain>
</file>

<file path=xl/sharedStrings.xml><?xml version="1.0" encoding="utf-8"?>
<sst xmlns="http://schemas.openxmlformats.org/spreadsheetml/2006/main" count="392" uniqueCount="160">
  <si>
    <t>序号</t>
  </si>
  <si>
    <t>参数ID</t>
  </si>
  <si>
    <t>参数名称</t>
  </si>
  <si>
    <t>TCT4001</t>
    <phoneticPr fontId="1" type="noConversion"/>
  </si>
  <si>
    <t>TCT4002</t>
  </si>
  <si>
    <t>阳极点火时长上限</t>
  </si>
  <si>
    <t>TCT4003</t>
  </si>
  <si>
    <t>阴极激活点火时长上限</t>
  </si>
  <si>
    <t>TCT4004</t>
  </si>
  <si>
    <t>管路排气预处理时间</t>
  </si>
  <si>
    <t>TCT4005</t>
  </si>
  <si>
    <t>推力器启动固定时长</t>
  </si>
  <si>
    <t>TCT4006</t>
  </si>
  <si>
    <t>流量固定开环输出稳定时间</t>
  </si>
  <si>
    <t>TCT4007</t>
  </si>
  <si>
    <t>阴极除气时间</t>
  </si>
  <si>
    <t>TCT4008</t>
  </si>
  <si>
    <t>阴极0.8A加热时间</t>
  </si>
  <si>
    <t>TCT4009</t>
  </si>
  <si>
    <t>阴极1.5A加热时间</t>
  </si>
  <si>
    <t>TCT4010</t>
  </si>
  <si>
    <t>阴极2.0A加热时间</t>
  </si>
  <si>
    <t>TCT4011</t>
  </si>
  <si>
    <t>阴极2.5A加热时间</t>
  </si>
  <si>
    <t>TCT4012</t>
  </si>
  <si>
    <t>阴极2.9A加热时间</t>
  </si>
  <si>
    <t>TCT4013</t>
  </si>
  <si>
    <t>阴极3.2A加热时间</t>
  </si>
  <si>
    <t>TCT4014</t>
  </si>
  <si>
    <t>阴极3.5A加热时间</t>
  </si>
  <si>
    <t>TCT4015</t>
  </si>
  <si>
    <t>阳极电流闭环前的开环时间</t>
  </si>
  <si>
    <t>TCT4016</t>
  </si>
  <si>
    <t>双极减压调整时间</t>
  </si>
  <si>
    <t>TCT4017</t>
  </si>
  <si>
    <t>二次点火误差时间阈值</t>
  </si>
  <si>
    <t>TCT4018</t>
  </si>
  <si>
    <t>点火完毕阴极除气整秒计时器</t>
  </si>
  <si>
    <t>TCT4019</t>
  </si>
  <si>
    <t>二次点火最大点火次数值</t>
  </si>
  <si>
    <t>TCT4020</t>
  </si>
  <si>
    <t>阳极电流熄弧时间阈值</t>
  </si>
  <si>
    <t>TCT4021</t>
  </si>
  <si>
    <t>PID比例常数</t>
  </si>
  <si>
    <t>TCT4022</t>
  </si>
  <si>
    <t>PID积分常数</t>
  </si>
  <si>
    <t>TCT4023</t>
  </si>
  <si>
    <t>PID微分常数</t>
  </si>
  <si>
    <t>TCT4024</t>
  </si>
  <si>
    <t>PID流量控制死区门限</t>
  </si>
  <si>
    <t>TCT4025</t>
  </si>
  <si>
    <t>ADRC观测器极点配置距离</t>
  </si>
  <si>
    <t>TCT4026</t>
  </si>
  <si>
    <t>ADRC扰动补偿</t>
  </si>
  <si>
    <t>TCT4027</t>
  </si>
  <si>
    <t>PID动态控制误差限幅</t>
  </si>
  <si>
    <t>TCT4028</t>
  </si>
  <si>
    <t>PID稳态控制误差限幅</t>
  </si>
  <si>
    <t>TCT4029</t>
  </si>
  <si>
    <t>阳极电流闭环的控制量修正系数</t>
  </si>
  <si>
    <t>TCT4030</t>
  </si>
  <si>
    <t>阳极流量控制时延周期数</t>
  </si>
  <si>
    <t>TCT4031</t>
  </si>
  <si>
    <t>阳极电流IIR滤波器系数a1</t>
  </si>
  <si>
    <t>TCT4032</t>
  </si>
  <si>
    <t>阳极电流IIR滤波器系数a2</t>
  </si>
  <si>
    <t>TCT4033</t>
  </si>
  <si>
    <t>阳极电流IIR滤波器系数a3</t>
  </si>
  <si>
    <t>TCT4034</t>
  </si>
  <si>
    <t>阳极电流IIR滤波器系数a4</t>
  </si>
  <si>
    <t>TCT4035</t>
  </si>
  <si>
    <t>阳极电流IIR滤波器系数a5</t>
  </si>
  <si>
    <t>TCT4036</t>
  </si>
  <si>
    <t>阳极电流IIR滤波器系数a6</t>
  </si>
  <si>
    <t>TCT4037</t>
  </si>
  <si>
    <t>阳极电流IIR滤波器系数a7</t>
  </si>
  <si>
    <t>TCT4038</t>
  </si>
  <si>
    <t>阳极电流IIR滤波器系数a8</t>
  </si>
  <si>
    <t>TCT4039</t>
  </si>
  <si>
    <t>阳极电流IIR滤波器系数a9</t>
  </si>
  <si>
    <t>TCT4040</t>
  </si>
  <si>
    <t>TCT4041</t>
  </si>
  <si>
    <t>压传IIR滤波器系数a2</t>
  </si>
  <si>
    <t>TCT4042</t>
  </si>
  <si>
    <t>压传IIR滤波器系数a3</t>
  </si>
  <si>
    <t>TCT4043</t>
  </si>
  <si>
    <t>压传IIR滤波器系数a4</t>
  </si>
  <si>
    <t>TCT4044</t>
  </si>
  <si>
    <t>TCT4045</t>
  </si>
  <si>
    <t>压传IIR滤波器系数a6</t>
  </si>
  <si>
    <t>TCT4046</t>
  </si>
  <si>
    <t>压传IIR滤波器系数a7</t>
  </si>
  <si>
    <t>TCT4047</t>
  </si>
  <si>
    <t>压传IIR滤波器系数a8</t>
  </si>
  <si>
    <t>TCT4048</t>
  </si>
  <si>
    <t>压传IIR滤波器系数a9</t>
  </si>
  <si>
    <t>TCT4049</t>
  </si>
  <si>
    <t>比例阀IIR滤波器系数a1</t>
  </si>
  <si>
    <t>TCT4050</t>
  </si>
  <si>
    <t>比例阀IIR滤波器系数a2</t>
  </si>
  <si>
    <t>TCT4051</t>
  </si>
  <si>
    <t>比例阀IIR滤波器系数a3</t>
  </si>
  <si>
    <t>TCT4052</t>
  </si>
  <si>
    <t>比例阀IIR滤波器系数a4</t>
  </si>
  <si>
    <t>TCT4053</t>
  </si>
  <si>
    <t>比例阀IIR滤波器系数a5</t>
  </si>
  <si>
    <t>TCT4054</t>
  </si>
  <si>
    <t>比例阀IIR滤波器系数a6</t>
  </si>
  <si>
    <t>TCT4055</t>
  </si>
  <si>
    <t>比例阀IIR滤波器系数a7</t>
  </si>
  <si>
    <t>TCT4056</t>
  </si>
  <si>
    <t>比例阀IIR滤波器系数a8</t>
  </si>
  <si>
    <t>TCT4057</t>
  </si>
  <si>
    <t>比例阀IIR滤波器系数a9</t>
  </si>
  <si>
    <t>标识符</t>
  </si>
  <si>
    <t>float</t>
  </si>
  <si>
    <t>uint32</t>
  </si>
  <si>
    <t>压传IIR滤波器系数a1</t>
  </si>
  <si>
    <t>压传IIR滤波器系数a5</t>
  </si>
  <si>
    <t>指令码</t>
    <phoneticPr fontId="1" type="noConversion"/>
  </si>
  <si>
    <t>区域</t>
  </si>
  <si>
    <t>字段</t>
  </si>
  <si>
    <t>位宽(bit)</t>
  </si>
  <si>
    <t>说明</t>
  </si>
  <si>
    <t>包主导头</t>
  </si>
  <si>
    <t>数据域长度</t>
  </si>
  <si>
    <t>数据域字节数-1</t>
  </si>
  <si>
    <t>包数据域</t>
  </si>
  <si>
    <t>校验和</t>
  </si>
  <si>
    <t>固定值</t>
    <phoneticPr fontId="1" type="noConversion"/>
  </si>
  <si>
    <t>阴极点火时长上限</t>
    <phoneticPr fontId="1" type="noConversion"/>
  </si>
  <si>
    <t>包主导头（不含标识符）和数据域单字节累加求和取反，取低16</t>
    <phoneticPr fontId="1" type="noConversion"/>
  </si>
  <si>
    <t>分组标志</t>
    <phoneticPr fontId="1" type="noConversion"/>
  </si>
  <si>
    <t>0x00~0x3FFF</t>
    <phoneticPr fontId="1" type="noConversion"/>
  </si>
  <si>
    <t>0x0001~0x00FF</t>
    <phoneticPr fontId="1" type="noConversion"/>
  </si>
  <si>
    <t>14-bit循环累加</t>
    <phoneticPr fontId="1" type="noConversion"/>
  </si>
  <si>
    <t>取值范围</t>
    <phoneticPr fontId="1" type="noConversion"/>
  </si>
  <si>
    <t>参数值(十进制)</t>
    <phoneticPr fontId="1" type="noConversion"/>
  </si>
  <si>
    <r>
      <rPr>
        <b/>
        <sz val="11"/>
        <color rgb="FFFFFFFF"/>
        <rFont val="等线"/>
        <family val="2"/>
      </rPr>
      <t>转换方式</t>
    </r>
    <phoneticPr fontId="1" type="noConversion"/>
  </si>
  <si>
    <t>高字节在前，浮点数IEEE754格式</t>
  </si>
  <si>
    <t>高字节在前，浮点数IEEE754格式</t>
    <phoneticPr fontId="1" type="noConversion"/>
  </si>
  <si>
    <t>值类型</t>
    <phoneticPr fontId="1" type="noConversion"/>
  </si>
  <si>
    <t>数值参数</t>
    <phoneticPr fontId="1" type="noConversion"/>
  </si>
  <si>
    <t>APID</t>
    <phoneticPr fontId="1" type="noConversion"/>
  </si>
  <si>
    <t>源包序列计数</t>
    <phoneticPr fontId="1" type="noConversion"/>
  </si>
  <si>
    <t>位偏移</t>
    <phoneticPr fontId="1" type="noConversion"/>
  </si>
  <si>
    <t>参数1</t>
    <phoneticPr fontId="1" type="noConversion"/>
  </si>
  <si>
    <t>参数2</t>
    <phoneticPr fontId="1" type="noConversion"/>
  </si>
  <si>
    <t>初始值(HEX)</t>
    <phoneticPr fontId="1" type="noConversion"/>
  </si>
  <si>
    <t>EB90</t>
    <phoneticPr fontId="1" type="noConversion"/>
  </si>
  <si>
    <t>0520</t>
    <phoneticPr fontId="1" type="noConversion"/>
  </si>
  <si>
    <t>11</t>
    <phoneticPr fontId="1" type="noConversion"/>
  </si>
  <si>
    <t>03FF</t>
    <phoneticPr fontId="1" type="noConversion"/>
  </si>
  <si>
    <t>big_endian</t>
    <phoneticPr fontId="1" type="noConversion"/>
  </si>
  <si>
    <r>
      <rPr>
        <b/>
        <sz val="11"/>
        <color rgb="FFFFFFFF"/>
        <rFont val="微软雅黑"/>
        <family val="2"/>
        <charset val="134"/>
      </rPr>
      <t xml:space="preserve">位长度
</t>
    </r>
    <r>
      <rPr>
        <b/>
        <sz val="11"/>
        <color rgb="FFFFFFFF"/>
        <rFont val="Calibri"/>
        <family val="2"/>
      </rPr>
      <t>bit_length</t>
    </r>
    <phoneticPr fontId="1" type="noConversion"/>
  </si>
  <si>
    <r>
      <rPr>
        <b/>
        <sz val="11"/>
        <color rgb="FFFFFFFF"/>
        <rFont val="微软雅黑"/>
        <family val="2"/>
        <charset val="134"/>
      </rPr>
      <t xml:space="preserve">位偏移
</t>
    </r>
    <r>
      <rPr>
        <b/>
        <sz val="11"/>
        <color rgb="FFFFFFFF"/>
        <rFont val="Calibri"/>
        <family val="2"/>
      </rPr>
      <t>bit_offset</t>
    </r>
    <phoneticPr fontId="1" type="noConversion"/>
  </si>
  <si>
    <t>数据类型</t>
    <phoneticPr fontId="1" type="noConversion"/>
  </si>
  <si>
    <t>字节序</t>
    <phoneticPr fontId="1" type="noConversion"/>
  </si>
  <si>
    <t>小数位数</t>
    <phoneticPr fontId="1" type="noConversion"/>
  </si>
  <si>
    <t>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</si>
</sst>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Calibri"/>
      <family val="2"/>
    </font>
    <font>
      <b/>
      <sz val="11"/>
      <color rgb="FFFFFFFF"/>
      <name val="宋体"/>
      <family val="2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FFFF"/>
      <name val="等线"/>
      <family val="2"/>
    </font>
    <font>
      <b/>
      <sz val="11"/>
      <color rgb="FFFFFFFF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3" fillId="3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workbookViewId="0">
      <selection activeCell="K8" sqref="K8"/>
    </sheetView>
  </sheetViews>
  <sheetFormatPr defaultRowHeight="14" x14ac:dyDescent="0.3"/>
  <cols>
    <col min="3" max="3" width="28.08203125" bestFit="1" customWidth="1"/>
    <col min="12" max="12" width="28.83203125" bestFit="1" customWidth="1"/>
  </cols>
  <sheetData>
    <row r="1" spans="1:12" ht="31" x14ac:dyDescent="0.3">
      <c r="A1" s="1" t="s">
        <v>0</v>
      </c>
      <c r="B1" s="1" t="s">
        <v>1</v>
      </c>
      <c r="C1" s="1" t="s">
        <v>2</v>
      </c>
      <c r="D1" s="2" t="s">
        <v>137</v>
      </c>
      <c r="E1" s="2" t="s">
        <v>141</v>
      </c>
      <c r="F1" s="11" t="s">
        <v>155</v>
      </c>
      <c r="G1" s="11" t="s">
        <v>154</v>
      </c>
      <c r="H1" s="12" t="s">
        <v>156</v>
      </c>
      <c r="I1" s="12" t="s">
        <v>157</v>
      </c>
      <c r="J1" s="12" t="s">
        <v>158</v>
      </c>
      <c r="K1" s="12" t="s">
        <v>159</v>
      </c>
      <c r="L1" s="7" t="s">
        <v>138</v>
      </c>
    </row>
    <row r="2" spans="1:12" x14ac:dyDescent="0.3">
      <c r="A2">
        <v>1</v>
      </c>
      <c r="B2" t="s">
        <v>3</v>
      </c>
      <c r="C2" s="3" t="s">
        <v>130</v>
      </c>
      <c r="D2" s="3">
        <v>240</v>
      </c>
      <c r="E2" s="8" t="s">
        <v>142</v>
      </c>
      <c r="F2">
        <v>80</v>
      </c>
      <c r="G2">
        <v>32</v>
      </c>
      <c r="H2" s="3" t="s">
        <v>115</v>
      </c>
      <c r="I2" t="s">
        <v>153</v>
      </c>
      <c r="J2">
        <v>3</v>
      </c>
      <c r="L2" t="s">
        <v>140</v>
      </c>
    </row>
    <row r="3" spans="1:12" x14ac:dyDescent="0.3">
      <c r="A3">
        <v>2</v>
      </c>
      <c r="B3" t="s">
        <v>4</v>
      </c>
      <c r="C3" s="3" t="s">
        <v>5</v>
      </c>
      <c r="D3" s="3">
        <v>120</v>
      </c>
      <c r="E3" s="8" t="s">
        <v>142</v>
      </c>
      <c r="F3">
        <f>F2+G2</f>
        <v>112</v>
      </c>
      <c r="G3">
        <v>32</v>
      </c>
      <c r="H3" s="3" t="s">
        <v>115</v>
      </c>
      <c r="I3" t="s">
        <v>153</v>
      </c>
      <c r="J3">
        <v>3</v>
      </c>
      <c r="L3" t="s">
        <v>140</v>
      </c>
    </row>
    <row r="4" spans="1:12" x14ac:dyDescent="0.3">
      <c r="A4">
        <v>3</v>
      </c>
      <c r="B4" t="s">
        <v>6</v>
      </c>
      <c r="C4" s="3" t="s">
        <v>7</v>
      </c>
      <c r="D4" s="3">
        <v>300</v>
      </c>
      <c r="E4" s="8" t="s">
        <v>142</v>
      </c>
      <c r="F4">
        <f t="shared" ref="F4:F58" si="0">F3+G3</f>
        <v>144</v>
      </c>
      <c r="G4">
        <v>32</v>
      </c>
      <c r="H4" s="3" t="s">
        <v>115</v>
      </c>
      <c r="I4" t="s">
        <v>153</v>
      </c>
      <c r="J4">
        <v>3</v>
      </c>
      <c r="L4" t="s">
        <v>140</v>
      </c>
    </row>
    <row r="5" spans="1:12" x14ac:dyDescent="0.3">
      <c r="A5">
        <v>4</v>
      </c>
      <c r="B5" t="s">
        <v>8</v>
      </c>
      <c r="C5" s="3" t="s">
        <v>9</v>
      </c>
      <c r="D5" s="3">
        <v>300</v>
      </c>
      <c r="E5" s="8" t="s">
        <v>142</v>
      </c>
      <c r="F5">
        <f t="shared" si="0"/>
        <v>176</v>
      </c>
      <c r="G5">
        <v>32</v>
      </c>
      <c r="H5" s="3" t="s">
        <v>116</v>
      </c>
      <c r="I5" t="s">
        <v>153</v>
      </c>
      <c r="J5">
        <v>3</v>
      </c>
      <c r="L5" t="s">
        <v>140</v>
      </c>
    </row>
    <row r="6" spans="1:12" x14ac:dyDescent="0.3">
      <c r="A6">
        <v>5</v>
      </c>
      <c r="B6" t="s">
        <v>10</v>
      </c>
      <c r="C6" s="3" t="s">
        <v>11</v>
      </c>
      <c r="D6" s="3">
        <v>360</v>
      </c>
      <c r="E6" s="8" t="s">
        <v>142</v>
      </c>
      <c r="F6">
        <f t="shared" si="0"/>
        <v>208</v>
      </c>
      <c r="G6">
        <v>32</v>
      </c>
      <c r="H6" s="3" t="s">
        <v>115</v>
      </c>
      <c r="I6" t="s">
        <v>153</v>
      </c>
      <c r="J6">
        <v>3</v>
      </c>
      <c r="L6" t="s">
        <v>140</v>
      </c>
    </row>
    <row r="7" spans="1:12" x14ac:dyDescent="0.3">
      <c r="A7">
        <v>6</v>
      </c>
      <c r="B7" t="s">
        <v>12</v>
      </c>
      <c r="C7" s="3" t="s">
        <v>13</v>
      </c>
      <c r="D7" s="3">
        <v>10</v>
      </c>
      <c r="E7" s="8" t="s">
        <v>142</v>
      </c>
      <c r="F7">
        <f t="shared" si="0"/>
        <v>240</v>
      </c>
      <c r="G7">
        <v>32</v>
      </c>
      <c r="H7" s="3" t="s">
        <v>115</v>
      </c>
      <c r="I7" t="s">
        <v>153</v>
      </c>
      <c r="J7">
        <v>3</v>
      </c>
      <c r="L7" t="s">
        <v>140</v>
      </c>
    </row>
    <row r="8" spans="1:12" x14ac:dyDescent="0.3">
      <c r="A8">
        <v>7</v>
      </c>
      <c r="B8" t="s">
        <v>14</v>
      </c>
      <c r="C8" s="3" t="s">
        <v>15</v>
      </c>
      <c r="D8" s="3">
        <v>3000</v>
      </c>
      <c r="E8" s="8" t="s">
        <v>142</v>
      </c>
      <c r="F8">
        <f t="shared" si="0"/>
        <v>272</v>
      </c>
      <c r="G8">
        <v>32</v>
      </c>
      <c r="H8" s="3" t="s">
        <v>115</v>
      </c>
      <c r="I8" t="s">
        <v>153</v>
      </c>
      <c r="J8">
        <v>3</v>
      </c>
      <c r="L8" t="s">
        <v>140</v>
      </c>
    </row>
    <row r="9" spans="1:12" x14ac:dyDescent="0.3">
      <c r="A9">
        <v>8</v>
      </c>
      <c r="B9" t="s">
        <v>16</v>
      </c>
      <c r="C9" s="3" t="s">
        <v>17</v>
      </c>
      <c r="D9" s="3">
        <v>1800</v>
      </c>
      <c r="E9" s="8" t="s">
        <v>142</v>
      </c>
      <c r="F9">
        <f t="shared" si="0"/>
        <v>304</v>
      </c>
      <c r="G9">
        <v>32</v>
      </c>
      <c r="H9" s="3" t="s">
        <v>115</v>
      </c>
      <c r="I9" t="s">
        <v>153</v>
      </c>
      <c r="J9">
        <v>3</v>
      </c>
      <c r="L9" t="s">
        <v>140</v>
      </c>
    </row>
    <row r="10" spans="1:12" x14ac:dyDescent="0.3">
      <c r="A10">
        <v>9</v>
      </c>
      <c r="B10" t="s">
        <v>18</v>
      </c>
      <c r="C10" s="3" t="s">
        <v>19</v>
      </c>
      <c r="D10" s="3">
        <v>1800</v>
      </c>
      <c r="E10" s="8" t="s">
        <v>142</v>
      </c>
      <c r="F10">
        <f t="shared" si="0"/>
        <v>336</v>
      </c>
      <c r="G10">
        <v>32</v>
      </c>
      <c r="H10" s="3" t="s">
        <v>115</v>
      </c>
      <c r="I10" t="s">
        <v>153</v>
      </c>
      <c r="J10">
        <v>3</v>
      </c>
      <c r="L10" t="s">
        <v>140</v>
      </c>
    </row>
    <row r="11" spans="1:12" x14ac:dyDescent="0.3">
      <c r="A11">
        <v>10</v>
      </c>
      <c r="B11" t="s">
        <v>20</v>
      </c>
      <c r="C11" s="3" t="s">
        <v>21</v>
      </c>
      <c r="D11" s="3">
        <v>5400</v>
      </c>
      <c r="E11" s="8" t="s">
        <v>142</v>
      </c>
      <c r="F11">
        <f t="shared" si="0"/>
        <v>368</v>
      </c>
      <c r="G11">
        <v>32</v>
      </c>
      <c r="H11" s="3" t="s">
        <v>115</v>
      </c>
      <c r="I11" t="s">
        <v>153</v>
      </c>
      <c r="J11">
        <v>3</v>
      </c>
      <c r="L11" t="s">
        <v>140</v>
      </c>
    </row>
    <row r="12" spans="1:12" x14ac:dyDescent="0.3">
      <c r="A12">
        <v>11</v>
      </c>
      <c r="B12" t="s">
        <v>22</v>
      </c>
      <c r="C12" s="3" t="s">
        <v>23</v>
      </c>
      <c r="D12" s="3">
        <v>600</v>
      </c>
      <c r="E12" s="8" t="s">
        <v>142</v>
      </c>
      <c r="F12">
        <f t="shared" si="0"/>
        <v>400</v>
      </c>
      <c r="G12">
        <v>32</v>
      </c>
      <c r="H12" s="3" t="s">
        <v>115</v>
      </c>
      <c r="I12" t="s">
        <v>153</v>
      </c>
      <c r="J12">
        <v>3</v>
      </c>
      <c r="L12" t="s">
        <v>140</v>
      </c>
    </row>
    <row r="13" spans="1:12" x14ac:dyDescent="0.3">
      <c r="A13">
        <v>12</v>
      </c>
      <c r="B13" t="s">
        <v>24</v>
      </c>
      <c r="C13" s="3" t="s">
        <v>25</v>
      </c>
      <c r="D13" s="3">
        <v>300</v>
      </c>
      <c r="E13" s="8" t="s">
        <v>142</v>
      </c>
      <c r="F13">
        <f t="shared" si="0"/>
        <v>432</v>
      </c>
      <c r="G13">
        <v>32</v>
      </c>
      <c r="H13" s="3" t="s">
        <v>115</v>
      </c>
      <c r="I13" t="s">
        <v>153</v>
      </c>
      <c r="J13">
        <v>3</v>
      </c>
      <c r="L13" t="s">
        <v>140</v>
      </c>
    </row>
    <row r="14" spans="1:12" x14ac:dyDescent="0.3">
      <c r="A14">
        <v>13</v>
      </c>
      <c r="B14" t="s">
        <v>26</v>
      </c>
      <c r="C14" s="3" t="s">
        <v>27</v>
      </c>
      <c r="D14" s="3">
        <v>600</v>
      </c>
      <c r="E14" s="8" t="s">
        <v>142</v>
      </c>
      <c r="F14">
        <f t="shared" si="0"/>
        <v>464</v>
      </c>
      <c r="G14">
        <v>32</v>
      </c>
      <c r="H14" s="3" t="s">
        <v>115</v>
      </c>
      <c r="I14" t="s">
        <v>153</v>
      </c>
      <c r="J14">
        <v>3</v>
      </c>
      <c r="L14" t="s">
        <v>140</v>
      </c>
    </row>
    <row r="15" spans="1:12" x14ac:dyDescent="0.3">
      <c r="A15">
        <v>14</v>
      </c>
      <c r="B15" t="s">
        <v>28</v>
      </c>
      <c r="C15" s="3" t="s">
        <v>29</v>
      </c>
      <c r="D15" s="3">
        <v>60</v>
      </c>
      <c r="E15" s="8" t="s">
        <v>142</v>
      </c>
      <c r="F15">
        <f t="shared" si="0"/>
        <v>496</v>
      </c>
      <c r="G15">
        <v>32</v>
      </c>
      <c r="H15" s="3" t="s">
        <v>115</v>
      </c>
      <c r="I15" t="s">
        <v>153</v>
      </c>
      <c r="J15">
        <v>3</v>
      </c>
      <c r="L15" t="s">
        <v>140</v>
      </c>
    </row>
    <row r="16" spans="1:12" x14ac:dyDescent="0.3">
      <c r="A16">
        <v>15</v>
      </c>
      <c r="B16" t="s">
        <v>30</v>
      </c>
      <c r="C16" s="3" t="s">
        <v>31</v>
      </c>
      <c r="D16" s="3">
        <v>5</v>
      </c>
      <c r="E16" s="8" t="s">
        <v>142</v>
      </c>
      <c r="F16">
        <f t="shared" si="0"/>
        <v>528</v>
      </c>
      <c r="G16">
        <v>32</v>
      </c>
      <c r="H16" s="3" t="s">
        <v>115</v>
      </c>
      <c r="I16" t="s">
        <v>153</v>
      </c>
      <c r="J16">
        <v>3</v>
      </c>
      <c r="L16" t="s">
        <v>140</v>
      </c>
    </row>
    <row r="17" spans="1:12" x14ac:dyDescent="0.3">
      <c r="A17">
        <v>16</v>
      </c>
      <c r="B17" t="s">
        <v>32</v>
      </c>
      <c r="C17" s="3" t="s">
        <v>33</v>
      </c>
      <c r="D17" s="3">
        <v>60</v>
      </c>
      <c r="E17" s="8" t="s">
        <v>142</v>
      </c>
      <c r="F17">
        <f t="shared" si="0"/>
        <v>560</v>
      </c>
      <c r="G17">
        <v>32</v>
      </c>
      <c r="H17" s="3" t="s">
        <v>115</v>
      </c>
      <c r="I17" t="s">
        <v>153</v>
      </c>
      <c r="J17">
        <v>3</v>
      </c>
      <c r="L17" t="s">
        <v>139</v>
      </c>
    </row>
    <row r="18" spans="1:12" x14ac:dyDescent="0.3">
      <c r="A18">
        <v>17</v>
      </c>
      <c r="B18" t="s">
        <v>34</v>
      </c>
      <c r="C18" s="3" t="s">
        <v>35</v>
      </c>
      <c r="D18" s="3">
        <v>50</v>
      </c>
      <c r="E18" s="8" t="s">
        <v>142</v>
      </c>
      <c r="F18">
        <f t="shared" si="0"/>
        <v>592</v>
      </c>
      <c r="G18">
        <v>32</v>
      </c>
      <c r="H18" s="3" t="s">
        <v>115</v>
      </c>
      <c r="I18" t="s">
        <v>153</v>
      </c>
      <c r="J18">
        <v>3</v>
      </c>
      <c r="L18" t="s">
        <v>139</v>
      </c>
    </row>
    <row r="19" spans="1:12" x14ac:dyDescent="0.3">
      <c r="A19">
        <v>18</v>
      </c>
      <c r="B19" t="s">
        <v>36</v>
      </c>
      <c r="C19" s="3" t="s">
        <v>37</v>
      </c>
      <c r="D19" s="3">
        <v>30</v>
      </c>
      <c r="E19" s="8" t="s">
        <v>142</v>
      </c>
      <c r="F19">
        <f t="shared" si="0"/>
        <v>624</v>
      </c>
      <c r="G19">
        <v>32</v>
      </c>
      <c r="H19" s="3" t="s">
        <v>116</v>
      </c>
      <c r="I19" t="s">
        <v>153</v>
      </c>
      <c r="J19">
        <v>3</v>
      </c>
      <c r="L19" t="s">
        <v>139</v>
      </c>
    </row>
    <row r="20" spans="1:12" x14ac:dyDescent="0.3">
      <c r="A20">
        <v>19</v>
      </c>
      <c r="B20" t="s">
        <v>38</v>
      </c>
      <c r="C20" s="3" t="s">
        <v>39</v>
      </c>
      <c r="D20" s="3">
        <v>2</v>
      </c>
      <c r="E20" s="8" t="s">
        <v>142</v>
      </c>
      <c r="F20">
        <f t="shared" si="0"/>
        <v>656</v>
      </c>
      <c r="G20">
        <v>32</v>
      </c>
      <c r="H20" s="3" t="s">
        <v>116</v>
      </c>
      <c r="I20" t="s">
        <v>153</v>
      </c>
      <c r="J20">
        <v>3</v>
      </c>
      <c r="L20" t="s">
        <v>139</v>
      </c>
    </row>
    <row r="21" spans="1:12" x14ac:dyDescent="0.3">
      <c r="A21">
        <v>20</v>
      </c>
      <c r="B21" t="s">
        <v>40</v>
      </c>
      <c r="C21" s="3" t="s">
        <v>41</v>
      </c>
      <c r="D21" s="3">
        <v>60</v>
      </c>
      <c r="E21" s="8" t="s">
        <v>142</v>
      </c>
      <c r="F21">
        <f t="shared" si="0"/>
        <v>688</v>
      </c>
      <c r="G21">
        <v>32</v>
      </c>
      <c r="H21" s="3" t="s">
        <v>115</v>
      </c>
      <c r="I21" t="s">
        <v>153</v>
      </c>
      <c r="J21">
        <v>3</v>
      </c>
      <c r="L21" t="s">
        <v>139</v>
      </c>
    </row>
    <row r="22" spans="1:12" x14ac:dyDescent="0.3">
      <c r="A22">
        <v>21</v>
      </c>
      <c r="B22" t="s">
        <v>42</v>
      </c>
      <c r="C22" s="3" t="s">
        <v>43</v>
      </c>
      <c r="D22" s="3">
        <v>0.5</v>
      </c>
      <c r="E22" s="8" t="s">
        <v>142</v>
      </c>
      <c r="F22">
        <f t="shared" si="0"/>
        <v>720</v>
      </c>
      <c r="G22">
        <v>32</v>
      </c>
      <c r="H22" s="3" t="s">
        <v>115</v>
      </c>
      <c r="I22" t="s">
        <v>153</v>
      </c>
      <c r="J22">
        <v>3</v>
      </c>
      <c r="L22" t="s">
        <v>139</v>
      </c>
    </row>
    <row r="23" spans="1:12" x14ac:dyDescent="0.3">
      <c r="A23">
        <v>22</v>
      </c>
      <c r="B23" t="s">
        <v>44</v>
      </c>
      <c r="C23" s="3" t="s">
        <v>45</v>
      </c>
      <c r="D23" s="3">
        <v>3.15E-2</v>
      </c>
      <c r="E23" s="8" t="s">
        <v>142</v>
      </c>
      <c r="F23">
        <f t="shared" si="0"/>
        <v>752</v>
      </c>
      <c r="G23">
        <v>32</v>
      </c>
      <c r="H23" s="3" t="s">
        <v>115</v>
      </c>
      <c r="I23" t="s">
        <v>153</v>
      </c>
      <c r="J23">
        <v>4</v>
      </c>
      <c r="L23" t="s">
        <v>139</v>
      </c>
    </row>
    <row r="24" spans="1:12" x14ac:dyDescent="0.3">
      <c r="A24">
        <v>23</v>
      </c>
      <c r="B24" t="s">
        <v>46</v>
      </c>
      <c r="C24" s="3" t="s">
        <v>47</v>
      </c>
      <c r="D24" s="3">
        <v>5.0000000000000001E-3</v>
      </c>
      <c r="E24" s="8" t="s">
        <v>142</v>
      </c>
      <c r="F24">
        <f t="shared" si="0"/>
        <v>784</v>
      </c>
      <c r="G24">
        <v>32</v>
      </c>
      <c r="H24" s="3" t="s">
        <v>115</v>
      </c>
      <c r="I24" t="s">
        <v>153</v>
      </c>
      <c r="J24">
        <v>3</v>
      </c>
      <c r="L24" t="s">
        <v>139</v>
      </c>
    </row>
    <row r="25" spans="1:12" x14ac:dyDescent="0.3">
      <c r="A25">
        <v>24</v>
      </c>
      <c r="B25" t="s">
        <v>48</v>
      </c>
      <c r="C25" s="3" t="s">
        <v>49</v>
      </c>
      <c r="D25" s="3">
        <v>2E-3</v>
      </c>
      <c r="E25" s="8" t="s">
        <v>142</v>
      </c>
      <c r="F25">
        <f t="shared" si="0"/>
        <v>816</v>
      </c>
      <c r="G25">
        <v>32</v>
      </c>
      <c r="H25" s="3" t="s">
        <v>115</v>
      </c>
      <c r="I25" t="s">
        <v>153</v>
      </c>
      <c r="J25">
        <v>3</v>
      </c>
      <c r="L25" t="s">
        <v>139</v>
      </c>
    </row>
    <row r="26" spans="1:12" x14ac:dyDescent="0.3">
      <c r="A26">
        <v>25</v>
      </c>
      <c r="B26" t="s">
        <v>50</v>
      </c>
      <c r="C26" s="3" t="s">
        <v>51</v>
      </c>
      <c r="D26" s="3">
        <v>3</v>
      </c>
      <c r="E26" s="8" t="s">
        <v>142</v>
      </c>
      <c r="F26">
        <f t="shared" si="0"/>
        <v>848</v>
      </c>
      <c r="G26">
        <v>32</v>
      </c>
      <c r="H26" s="3" t="s">
        <v>115</v>
      </c>
      <c r="I26" t="s">
        <v>153</v>
      </c>
      <c r="J26">
        <v>3</v>
      </c>
      <c r="L26" t="s">
        <v>139</v>
      </c>
    </row>
    <row r="27" spans="1:12" x14ac:dyDescent="0.3">
      <c r="A27">
        <v>26</v>
      </c>
      <c r="B27" t="s">
        <v>52</v>
      </c>
      <c r="C27" s="3" t="s">
        <v>53</v>
      </c>
      <c r="D27" s="3">
        <v>1</v>
      </c>
      <c r="E27" s="8" t="s">
        <v>142</v>
      </c>
      <c r="F27">
        <f t="shared" si="0"/>
        <v>880</v>
      </c>
      <c r="G27">
        <v>32</v>
      </c>
      <c r="H27" s="3" t="s">
        <v>115</v>
      </c>
      <c r="I27" t="s">
        <v>153</v>
      </c>
      <c r="J27">
        <v>3</v>
      </c>
      <c r="L27" t="s">
        <v>139</v>
      </c>
    </row>
    <row r="28" spans="1:12" x14ac:dyDescent="0.3">
      <c r="A28">
        <v>27</v>
      </c>
      <c r="B28" t="s">
        <v>54</v>
      </c>
      <c r="C28" s="3" t="s">
        <v>55</v>
      </c>
      <c r="D28" s="3">
        <v>0.2</v>
      </c>
      <c r="E28" s="8" t="s">
        <v>142</v>
      </c>
      <c r="F28">
        <f t="shared" si="0"/>
        <v>912</v>
      </c>
      <c r="G28">
        <v>32</v>
      </c>
      <c r="H28" s="3" t="s">
        <v>115</v>
      </c>
      <c r="I28" t="s">
        <v>153</v>
      </c>
      <c r="J28">
        <v>3</v>
      </c>
      <c r="L28" t="s">
        <v>139</v>
      </c>
    </row>
    <row r="29" spans="1:12" x14ac:dyDescent="0.3">
      <c r="A29">
        <v>28</v>
      </c>
      <c r="B29" t="s">
        <v>56</v>
      </c>
      <c r="C29" s="3" t="s">
        <v>57</v>
      </c>
      <c r="D29" s="3">
        <v>0.02</v>
      </c>
      <c r="E29" s="8" t="s">
        <v>142</v>
      </c>
      <c r="F29">
        <f t="shared" si="0"/>
        <v>944</v>
      </c>
      <c r="G29">
        <v>32</v>
      </c>
      <c r="H29" s="3" t="s">
        <v>115</v>
      </c>
      <c r="I29" t="s">
        <v>153</v>
      </c>
      <c r="J29">
        <v>3</v>
      </c>
      <c r="L29" t="s">
        <v>139</v>
      </c>
    </row>
    <row r="30" spans="1:12" x14ac:dyDescent="0.3">
      <c r="A30">
        <v>29</v>
      </c>
      <c r="B30" t="s">
        <v>58</v>
      </c>
      <c r="C30" s="3" t="s">
        <v>59</v>
      </c>
      <c r="D30" s="3">
        <v>0.2</v>
      </c>
      <c r="E30" s="8" t="s">
        <v>142</v>
      </c>
      <c r="F30">
        <f t="shared" si="0"/>
        <v>976</v>
      </c>
      <c r="G30">
        <v>32</v>
      </c>
      <c r="H30" s="3" t="s">
        <v>115</v>
      </c>
      <c r="I30" t="s">
        <v>153</v>
      </c>
      <c r="J30">
        <v>3</v>
      </c>
      <c r="L30" t="s">
        <v>139</v>
      </c>
    </row>
    <row r="31" spans="1:12" x14ac:dyDescent="0.3">
      <c r="A31">
        <v>30</v>
      </c>
      <c r="B31" t="s">
        <v>60</v>
      </c>
      <c r="C31" s="3" t="s">
        <v>61</v>
      </c>
      <c r="D31" s="3">
        <v>2</v>
      </c>
      <c r="E31" s="8" t="s">
        <v>142</v>
      </c>
      <c r="F31">
        <f t="shared" si="0"/>
        <v>1008</v>
      </c>
      <c r="G31">
        <v>32</v>
      </c>
      <c r="H31" s="3" t="s">
        <v>116</v>
      </c>
      <c r="I31" t="s">
        <v>153</v>
      </c>
      <c r="J31">
        <v>3</v>
      </c>
      <c r="L31" t="s">
        <v>139</v>
      </c>
    </row>
    <row r="32" spans="1:12" x14ac:dyDescent="0.3">
      <c r="A32">
        <v>31</v>
      </c>
      <c r="B32" t="s">
        <v>62</v>
      </c>
      <c r="C32" s="3" t="s">
        <v>63</v>
      </c>
      <c r="D32" s="3">
        <v>-1.2200000000000001E-2</v>
      </c>
      <c r="E32" s="8" t="s">
        <v>142</v>
      </c>
      <c r="F32">
        <f t="shared" si="0"/>
        <v>1040</v>
      </c>
      <c r="G32">
        <v>32</v>
      </c>
      <c r="H32" s="3" t="s">
        <v>115</v>
      </c>
      <c r="I32" t="s">
        <v>153</v>
      </c>
      <c r="J32">
        <v>6</v>
      </c>
      <c r="L32" t="s">
        <v>139</v>
      </c>
    </row>
    <row r="33" spans="1:12" x14ac:dyDescent="0.3">
      <c r="A33">
        <v>32</v>
      </c>
      <c r="B33" t="s">
        <v>64</v>
      </c>
      <c r="C33" s="3" t="s">
        <v>65</v>
      </c>
      <c r="D33" s="3">
        <v>-2.1014000000000001E-2</v>
      </c>
      <c r="E33" s="8" t="s">
        <v>142</v>
      </c>
      <c r="F33">
        <f t="shared" si="0"/>
        <v>1072</v>
      </c>
      <c r="G33">
        <v>32</v>
      </c>
      <c r="H33" s="3" t="s">
        <v>115</v>
      </c>
      <c r="I33" t="s">
        <v>153</v>
      </c>
      <c r="J33">
        <v>6</v>
      </c>
      <c r="L33" t="s">
        <v>139</v>
      </c>
    </row>
    <row r="34" spans="1:12" x14ac:dyDescent="0.3">
      <c r="A34">
        <v>33</v>
      </c>
      <c r="B34" t="s">
        <v>66</v>
      </c>
      <c r="C34" s="3" t="s">
        <v>67</v>
      </c>
      <c r="D34" s="3">
        <v>-2.4590999999999998E-2</v>
      </c>
      <c r="E34" s="8" t="s">
        <v>142</v>
      </c>
      <c r="F34">
        <f t="shared" si="0"/>
        <v>1104</v>
      </c>
      <c r="G34">
        <v>32</v>
      </c>
      <c r="H34" s="3" t="s">
        <v>115</v>
      </c>
      <c r="I34" t="s">
        <v>153</v>
      </c>
      <c r="J34">
        <v>6</v>
      </c>
      <c r="L34" t="s">
        <v>139</v>
      </c>
    </row>
    <row r="35" spans="1:12" x14ac:dyDescent="0.3">
      <c r="A35">
        <v>34</v>
      </c>
      <c r="B35" t="s">
        <v>68</v>
      </c>
      <c r="C35" s="3" t="s">
        <v>69</v>
      </c>
      <c r="D35" s="3">
        <v>-1.1148E-2</v>
      </c>
      <c r="E35" s="8" t="s">
        <v>142</v>
      </c>
      <c r="F35">
        <f t="shared" si="0"/>
        <v>1136</v>
      </c>
      <c r="G35">
        <v>32</v>
      </c>
      <c r="H35" s="3" t="s">
        <v>115</v>
      </c>
      <c r="I35" t="s">
        <v>153</v>
      </c>
      <c r="J35">
        <v>6</v>
      </c>
      <c r="L35" t="s">
        <v>139</v>
      </c>
    </row>
    <row r="36" spans="1:12" x14ac:dyDescent="0.3">
      <c r="A36">
        <v>35</v>
      </c>
      <c r="B36" t="s">
        <v>70</v>
      </c>
      <c r="C36" s="3" t="s">
        <v>71</v>
      </c>
      <c r="D36" s="3">
        <v>2.5974000000000001E-2</v>
      </c>
      <c r="E36" s="8" t="s">
        <v>142</v>
      </c>
      <c r="F36">
        <f t="shared" si="0"/>
        <v>1168</v>
      </c>
      <c r="G36">
        <v>32</v>
      </c>
      <c r="H36" s="3" t="s">
        <v>115</v>
      </c>
      <c r="I36" t="s">
        <v>153</v>
      </c>
      <c r="J36">
        <v>6</v>
      </c>
      <c r="L36" t="s">
        <v>139</v>
      </c>
    </row>
    <row r="37" spans="1:12" x14ac:dyDescent="0.3">
      <c r="A37">
        <v>36</v>
      </c>
      <c r="B37" t="s">
        <v>72</v>
      </c>
      <c r="C37" s="3" t="s">
        <v>73</v>
      </c>
      <c r="D37" s="3">
        <v>8.3951999999999999E-2</v>
      </c>
      <c r="E37" s="8" t="s">
        <v>142</v>
      </c>
      <c r="F37">
        <f t="shared" si="0"/>
        <v>1200</v>
      </c>
      <c r="G37">
        <v>32</v>
      </c>
      <c r="H37" s="3" t="s">
        <v>115</v>
      </c>
      <c r="I37" t="s">
        <v>153</v>
      </c>
      <c r="J37">
        <v>6</v>
      </c>
      <c r="L37" t="s">
        <v>139</v>
      </c>
    </row>
    <row r="38" spans="1:12" x14ac:dyDescent="0.3">
      <c r="A38">
        <v>37</v>
      </c>
      <c r="B38" t="s">
        <v>74</v>
      </c>
      <c r="C38" s="3" t="s">
        <v>75</v>
      </c>
      <c r="D38" s="3">
        <v>0.14888799999999999</v>
      </c>
      <c r="E38" s="8" t="s">
        <v>142</v>
      </c>
      <c r="F38">
        <f t="shared" si="0"/>
        <v>1232</v>
      </c>
      <c r="G38">
        <v>32</v>
      </c>
      <c r="H38" s="3" t="s">
        <v>115</v>
      </c>
      <c r="I38" t="s">
        <v>153</v>
      </c>
      <c r="J38">
        <v>6</v>
      </c>
      <c r="L38" t="s">
        <v>139</v>
      </c>
    </row>
    <row r="39" spans="1:12" x14ac:dyDescent="0.3">
      <c r="A39">
        <v>38</v>
      </c>
      <c r="B39" t="s">
        <v>76</v>
      </c>
      <c r="C39" s="3" t="s">
        <v>77</v>
      </c>
      <c r="D39" s="3">
        <v>0.20025299999999999</v>
      </c>
      <c r="E39" s="8" t="s">
        <v>142</v>
      </c>
      <c r="F39">
        <f t="shared" si="0"/>
        <v>1264</v>
      </c>
      <c r="G39">
        <v>32</v>
      </c>
      <c r="H39" s="3" t="s">
        <v>115</v>
      </c>
      <c r="I39" t="s">
        <v>153</v>
      </c>
      <c r="J39">
        <v>6</v>
      </c>
      <c r="L39" t="s">
        <v>139</v>
      </c>
    </row>
    <row r="40" spans="1:12" x14ac:dyDescent="0.3">
      <c r="A40">
        <v>39</v>
      </c>
      <c r="B40" t="s">
        <v>78</v>
      </c>
      <c r="C40" s="3" t="s">
        <v>79</v>
      </c>
      <c r="D40" s="3">
        <v>0.219802</v>
      </c>
      <c r="E40" s="8" t="s">
        <v>142</v>
      </c>
      <c r="F40">
        <f t="shared" si="0"/>
        <v>1296</v>
      </c>
      <c r="G40">
        <v>32</v>
      </c>
      <c r="H40" s="3" t="s">
        <v>115</v>
      </c>
      <c r="I40" t="s">
        <v>153</v>
      </c>
      <c r="J40">
        <v>6</v>
      </c>
      <c r="L40" t="s">
        <v>139</v>
      </c>
    </row>
    <row r="41" spans="1:12" x14ac:dyDescent="0.3">
      <c r="A41">
        <v>40</v>
      </c>
      <c r="B41" t="s">
        <v>80</v>
      </c>
      <c r="C41" s="3" t="s">
        <v>117</v>
      </c>
      <c r="D41" s="3">
        <v>-1.2200000000000001E-2</v>
      </c>
      <c r="E41" s="8" t="s">
        <v>142</v>
      </c>
      <c r="F41">
        <f t="shared" si="0"/>
        <v>1328</v>
      </c>
      <c r="G41">
        <v>32</v>
      </c>
      <c r="H41" s="3" t="s">
        <v>115</v>
      </c>
      <c r="I41" t="s">
        <v>153</v>
      </c>
      <c r="J41">
        <v>6</v>
      </c>
      <c r="L41" t="s">
        <v>139</v>
      </c>
    </row>
    <row r="42" spans="1:12" x14ac:dyDescent="0.3">
      <c r="A42">
        <v>41</v>
      </c>
      <c r="B42" t="s">
        <v>81</v>
      </c>
      <c r="C42" s="3" t="s">
        <v>82</v>
      </c>
      <c r="D42" s="3">
        <v>-2.1014000000000001E-2</v>
      </c>
      <c r="E42" s="8" t="s">
        <v>142</v>
      </c>
      <c r="F42">
        <f t="shared" si="0"/>
        <v>1360</v>
      </c>
      <c r="G42">
        <v>32</v>
      </c>
      <c r="H42" s="3" t="s">
        <v>115</v>
      </c>
      <c r="I42" t="s">
        <v>153</v>
      </c>
      <c r="J42">
        <v>6</v>
      </c>
      <c r="L42" t="s">
        <v>139</v>
      </c>
    </row>
    <row r="43" spans="1:12" x14ac:dyDescent="0.3">
      <c r="A43">
        <v>42</v>
      </c>
      <c r="B43" t="s">
        <v>83</v>
      </c>
      <c r="C43" s="3" t="s">
        <v>84</v>
      </c>
      <c r="D43" s="3">
        <v>-2.4590999999999998E-2</v>
      </c>
      <c r="E43" s="8" t="s">
        <v>142</v>
      </c>
      <c r="F43">
        <f t="shared" si="0"/>
        <v>1392</v>
      </c>
      <c r="G43">
        <v>32</v>
      </c>
      <c r="H43" s="3" t="s">
        <v>115</v>
      </c>
      <c r="I43" t="s">
        <v>153</v>
      </c>
      <c r="J43">
        <v>6</v>
      </c>
      <c r="L43" t="s">
        <v>139</v>
      </c>
    </row>
    <row r="44" spans="1:12" x14ac:dyDescent="0.3">
      <c r="A44">
        <v>43</v>
      </c>
      <c r="B44" t="s">
        <v>85</v>
      </c>
      <c r="C44" s="3" t="s">
        <v>86</v>
      </c>
      <c r="D44" s="3">
        <v>-1.1148E-2</v>
      </c>
      <c r="E44" s="8" t="s">
        <v>142</v>
      </c>
      <c r="F44">
        <f t="shared" si="0"/>
        <v>1424</v>
      </c>
      <c r="G44">
        <v>32</v>
      </c>
      <c r="H44" s="3" t="s">
        <v>115</v>
      </c>
      <c r="I44" t="s">
        <v>153</v>
      </c>
      <c r="J44">
        <v>6</v>
      </c>
      <c r="L44" t="s">
        <v>139</v>
      </c>
    </row>
    <row r="45" spans="1:12" x14ac:dyDescent="0.3">
      <c r="A45">
        <v>44</v>
      </c>
      <c r="B45" t="s">
        <v>87</v>
      </c>
      <c r="C45" s="3" t="s">
        <v>118</v>
      </c>
      <c r="D45" s="3">
        <v>2.5974000000000001E-2</v>
      </c>
      <c r="E45" s="8" t="s">
        <v>142</v>
      </c>
      <c r="F45">
        <f t="shared" si="0"/>
        <v>1456</v>
      </c>
      <c r="G45">
        <v>32</v>
      </c>
      <c r="H45" s="3" t="s">
        <v>115</v>
      </c>
      <c r="I45" t="s">
        <v>153</v>
      </c>
      <c r="J45">
        <v>6</v>
      </c>
      <c r="L45" t="s">
        <v>139</v>
      </c>
    </row>
    <row r="46" spans="1:12" x14ac:dyDescent="0.3">
      <c r="A46">
        <v>45</v>
      </c>
      <c r="B46" t="s">
        <v>88</v>
      </c>
      <c r="C46" s="3" t="s">
        <v>89</v>
      </c>
      <c r="D46" s="3">
        <v>8.3951999999999999E-2</v>
      </c>
      <c r="E46" s="8" t="s">
        <v>142</v>
      </c>
      <c r="F46">
        <f t="shared" si="0"/>
        <v>1488</v>
      </c>
      <c r="G46">
        <v>32</v>
      </c>
      <c r="H46" s="3" t="s">
        <v>115</v>
      </c>
      <c r="I46" t="s">
        <v>153</v>
      </c>
      <c r="J46">
        <v>6</v>
      </c>
      <c r="L46" t="s">
        <v>139</v>
      </c>
    </row>
    <row r="47" spans="1:12" x14ac:dyDescent="0.3">
      <c r="A47">
        <v>46</v>
      </c>
      <c r="B47" t="s">
        <v>90</v>
      </c>
      <c r="C47" s="3" t="s">
        <v>91</v>
      </c>
      <c r="D47" s="3">
        <v>0.14888799999999999</v>
      </c>
      <c r="E47" s="8" t="s">
        <v>142</v>
      </c>
      <c r="F47">
        <f t="shared" si="0"/>
        <v>1520</v>
      </c>
      <c r="G47">
        <v>32</v>
      </c>
      <c r="H47" s="3" t="s">
        <v>115</v>
      </c>
      <c r="I47" t="s">
        <v>153</v>
      </c>
      <c r="J47">
        <v>6</v>
      </c>
      <c r="L47" t="s">
        <v>139</v>
      </c>
    </row>
    <row r="48" spans="1:12" x14ac:dyDescent="0.3">
      <c r="A48">
        <v>47</v>
      </c>
      <c r="B48" t="s">
        <v>92</v>
      </c>
      <c r="C48" s="3" t="s">
        <v>93</v>
      </c>
      <c r="D48" s="3">
        <v>0.20025299999999999</v>
      </c>
      <c r="E48" s="8" t="s">
        <v>142</v>
      </c>
      <c r="F48">
        <f t="shared" si="0"/>
        <v>1552</v>
      </c>
      <c r="G48">
        <v>32</v>
      </c>
      <c r="H48" s="3" t="s">
        <v>115</v>
      </c>
      <c r="I48" t="s">
        <v>153</v>
      </c>
      <c r="J48">
        <v>6</v>
      </c>
      <c r="L48" t="s">
        <v>139</v>
      </c>
    </row>
    <row r="49" spans="1:12" x14ac:dyDescent="0.3">
      <c r="A49">
        <v>48</v>
      </c>
      <c r="B49" t="s">
        <v>94</v>
      </c>
      <c r="C49" s="3" t="s">
        <v>95</v>
      </c>
      <c r="D49" s="3">
        <v>0.219802</v>
      </c>
      <c r="E49" s="8" t="s">
        <v>142</v>
      </c>
      <c r="F49">
        <f t="shared" si="0"/>
        <v>1584</v>
      </c>
      <c r="G49">
        <v>32</v>
      </c>
      <c r="H49" s="3" t="s">
        <v>115</v>
      </c>
      <c r="I49" t="s">
        <v>153</v>
      </c>
      <c r="J49">
        <v>6</v>
      </c>
      <c r="L49" t="s">
        <v>139</v>
      </c>
    </row>
    <row r="50" spans="1:12" x14ac:dyDescent="0.3">
      <c r="A50">
        <v>49</v>
      </c>
      <c r="B50" t="s">
        <v>96</v>
      </c>
      <c r="C50" s="3" t="s">
        <v>97</v>
      </c>
      <c r="D50" s="3">
        <v>-1.2200000000000001E-2</v>
      </c>
      <c r="E50" s="8" t="s">
        <v>142</v>
      </c>
      <c r="F50">
        <f t="shared" si="0"/>
        <v>1616</v>
      </c>
      <c r="G50">
        <v>32</v>
      </c>
      <c r="H50" s="3" t="s">
        <v>115</v>
      </c>
      <c r="I50" t="s">
        <v>153</v>
      </c>
      <c r="J50">
        <v>6</v>
      </c>
      <c r="L50" t="s">
        <v>139</v>
      </c>
    </row>
    <row r="51" spans="1:12" x14ac:dyDescent="0.3">
      <c r="A51">
        <v>50</v>
      </c>
      <c r="B51" t="s">
        <v>98</v>
      </c>
      <c r="C51" s="3" t="s">
        <v>99</v>
      </c>
      <c r="D51" s="3">
        <v>-2.1014000000000001E-2</v>
      </c>
      <c r="E51" s="8" t="s">
        <v>142</v>
      </c>
      <c r="F51">
        <f t="shared" si="0"/>
        <v>1648</v>
      </c>
      <c r="G51">
        <v>32</v>
      </c>
      <c r="H51" s="3" t="s">
        <v>115</v>
      </c>
      <c r="I51" t="s">
        <v>153</v>
      </c>
      <c r="J51">
        <v>6</v>
      </c>
      <c r="L51" t="s">
        <v>139</v>
      </c>
    </row>
    <row r="52" spans="1:12" x14ac:dyDescent="0.3">
      <c r="A52">
        <v>51</v>
      </c>
      <c r="B52" t="s">
        <v>100</v>
      </c>
      <c r="C52" s="3" t="s">
        <v>101</v>
      </c>
      <c r="D52" s="3">
        <v>-2.4590999999999998E-2</v>
      </c>
      <c r="E52" s="8" t="s">
        <v>142</v>
      </c>
      <c r="F52">
        <f t="shared" si="0"/>
        <v>1680</v>
      </c>
      <c r="G52">
        <v>32</v>
      </c>
      <c r="H52" s="3" t="s">
        <v>115</v>
      </c>
      <c r="I52" t="s">
        <v>153</v>
      </c>
      <c r="J52">
        <v>6</v>
      </c>
      <c r="L52" t="s">
        <v>139</v>
      </c>
    </row>
    <row r="53" spans="1:12" x14ac:dyDescent="0.3">
      <c r="A53">
        <v>52</v>
      </c>
      <c r="B53" t="s">
        <v>102</v>
      </c>
      <c r="C53" s="3" t="s">
        <v>103</v>
      </c>
      <c r="D53" s="3">
        <v>-1.1148E-2</v>
      </c>
      <c r="E53" s="8" t="s">
        <v>142</v>
      </c>
      <c r="F53">
        <f t="shared" si="0"/>
        <v>1712</v>
      </c>
      <c r="G53">
        <v>32</v>
      </c>
      <c r="H53" s="3" t="s">
        <v>115</v>
      </c>
      <c r="I53" t="s">
        <v>153</v>
      </c>
      <c r="J53">
        <v>6</v>
      </c>
      <c r="L53" t="s">
        <v>139</v>
      </c>
    </row>
    <row r="54" spans="1:12" x14ac:dyDescent="0.3">
      <c r="A54">
        <v>53</v>
      </c>
      <c r="B54" t="s">
        <v>104</v>
      </c>
      <c r="C54" s="3" t="s">
        <v>105</v>
      </c>
      <c r="D54" s="3">
        <v>2.5974000000000001E-2</v>
      </c>
      <c r="E54" s="8" t="s">
        <v>142</v>
      </c>
      <c r="F54">
        <f t="shared" si="0"/>
        <v>1744</v>
      </c>
      <c r="G54">
        <v>32</v>
      </c>
      <c r="H54" s="3" t="s">
        <v>115</v>
      </c>
      <c r="I54" t="s">
        <v>153</v>
      </c>
      <c r="J54">
        <v>6</v>
      </c>
      <c r="L54" t="s">
        <v>139</v>
      </c>
    </row>
    <row r="55" spans="1:12" x14ac:dyDescent="0.3">
      <c r="A55">
        <v>54</v>
      </c>
      <c r="B55" t="s">
        <v>106</v>
      </c>
      <c r="C55" s="3" t="s">
        <v>107</v>
      </c>
      <c r="D55" s="3">
        <v>8.3951999999999999E-2</v>
      </c>
      <c r="E55" s="8" t="s">
        <v>142</v>
      </c>
      <c r="F55">
        <f t="shared" si="0"/>
        <v>1776</v>
      </c>
      <c r="G55">
        <v>32</v>
      </c>
      <c r="H55" s="3" t="s">
        <v>115</v>
      </c>
      <c r="I55" t="s">
        <v>153</v>
      </c>
      <c r="J55">
        <v>6</v>
      </c>
      <c r="L55" t="s">
        <v>139</v>
      </c>
    </row>
    <row r="56" spans="1:12" x14ac:dyDescent="0.3">
      <c r="A56">
        <v>55</v>
      </c>
      <c r="B56" t="s">
        <v>108</v>
      </c>
      <c r="C56" s="3" t="s">
        <v>109</v>
      </c>
      <c r="D56" s="3">
        <v>0.14888799999999999</v>
      </c>
      <c r="E56" s="8" t="s">
        <v>142</v>
      </c>
      <c r="F56">
        <f t="shared" si="0"/>
        <v>1808</v>
      </c>
      <c r="G56">
        <v>32</v>
      </c>
      <c r="H56" s="3" t="s">
        <v>115</v>
      </c>
      <c r="I56" t="s">
        <v>153</v>
      </c>
      <c r="J56">
        <v>6</v>
      </c>
      <c r="L56" t="s">
        <v>139</v>
      </c>
    </row>
    <row r="57" spans="1:12" x14ac:dyDescent="0.3">
      <c r="A57">
        <v>56</v>
      </c>
      <c r="B57" t="s">
        <v>110</v>
      </c>
      <c r="C57" s="3" t="s">
        <v>111</v>
      </c>
      <c r="D57" s="3">
        <v>0.20025299999999999</v>
      </c>
      <c r="E57" s="8" t="s">
        <v>142</v>
      </c>
      <c r="F57">
        <f t="shared" si="0"/>
        <v>1840</v>
      </c>
      <c r="G57">
        <v>32</v>
      </c>
      <c r="H57" s="3" t="s">
        <v>115</v>
      </c>
      <c r="I57" t="s">
        <v>153</v>
      </c>
      <c r="J57">
        <v>6</v>
      </c>
      <c r="L57" t="s">
        <v>139</v>
      </c>
    </row>
    <row r="58" spans="1:12" x14ac:dyDescent="0.3">
      <c r="A58">
        <v>57</v>
      </c>
      <c r="B58" t="s">
        <v>112</v>
      </c>
      <c r="C58" s="3" t="s">
        <v>113</v>
      </c>
      <c r="D58" s="3">
        <v>0.219802</v>
      </c>
      <c r="E58" s="8" t="s">
        <v>142</v>
      </c>
      <c r="F58">
        <f t="shared" si="0"/>
        <v>1872</v>
      </c>
      <c r="G58">
        <v>32</v>
      </c>
      <c r="H58" s="3" t="s">
        <v>115</v>
      </c>
      <c r="I58" t="s">
        <v>153</v>
      </c>
      <c r="J58">
        <v>6</v>
      </c>
      <c r="L58" t="s">
        <v>139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021C-BBBE-4B63-A01A-6D6DD3B2E202}">
  <dimension ref="A1:G10"/>
  <sheetViews>
    <sheetView tabSelected="1" workbookViewId="0">
      <selection activeCell="G5" sqref="G5"/>
    </sheetView>
  </sheetViews>
  <sheetFormatPr defaultRowHeight="14" x14ac:dyDescent="0.3"/>
  <cols>
    <col min="2" max="3" width="22.5" customWidth="1"/>
    <col min="5" max="6" width="14.25" customWidth="1"/>
    <col min="7" max="7" width="36.08203125" customWidth="1"/>
  </cols>
  <sheetData>
    <row r="1" spans="1:7" ht="16.5" x14ac:dyDescent="0.3">
      <c r="A1" s="4" t="s">
        <v>120</v>
      </c>
      <c r="B1" s="4" t="s">
        <v>121</v>
      </c>
      <c r="C1" s="9" t="s">
        <v>145</v>
      </c>
      <c r="D1" s="4" t="s">
        <v>122</v>
      </c>
      <c r="E1" s="6" t="s">
        <v>148</v>
      </c>
      <c r="F1" s="6" t="s">
        <v>136</v>
      </c>
      <c r="G1" s="4" t="s">
        <v>123</v>
      </c>
    </row>
    <row r="2" spans="1:7" x14ac:dyDescent="0.3">
      <c r="A2" s="5" t="s">
        <v>124</v>
      </c>
      <c r="B2" s="5" t="s">
        <v>114</v>
      </c>
      <c r="C2" s="5">
        <v>0</v>
      </c>
      <c r="D2" s="5">
        <v>16</v>
      </c>
      <c r="E2" s="5" t="s">
        <v>149</v>
      </c>
      <c r="F2" s="5" t="s">
        <v>129</v>
      </c>
      <c r="G2" s="5"/>
    </row>
    <row r="3" spans="1:7" x14ac:dyDescent="0.3">
      <c r="A3" s="5" t="s">
        <v>124</v>
      </c>
      <c r="B3" s="5" t="s">
        <v>143</v>
      </c>
      <c r="C3" s="5">
        <f>C2+D2</f>
        <v>16</v>
      </c>
      <c r="D3" s="5">
        <v>16</v>
      </c>
      <c r="E3" s="10" t="s">
        <v>150</v>
      </c>
      <c r="F3" s="5" t="s">
        <v>129</v>
      </c>
      <c r="G3" s="5"/>
    </row>
    <row r="4" spans="1:7" x14ac:dyDescent="0.3">
      <c r="A4" s="5" t="s">
        <v>124</v>
      </c>
      <c r="B4" s="5" t="s">
        <v>132</v>
      </c>
      <c r="C4" s="5">
        <f t="shared" ref="C4:C10" si="0">C3+D3</f>
        <v>32</v>
      </c>
      <c r="D4" s="5">
        <v>2</v>
      </c>
      <c r="E4" s="10" t="s">
        <v>151</v>
      </c>
      <c r="F4" s="5" t="s">
        <v>129</v>
      </c>
      <c r="G4" s="5"/>
    </row>
    <row r="5" spans="1:7" x14ac:dyDescent="0.3">
      <c r="A5" s="5" t="s">
        <v>124</v>
      </c>
      <c r="B5" s="5" t="s">
        <v>144</v>
      </c>
      <c r="C5" s="5">
        <f t="shared" si="0"/>
        <v>34</v>
      </c>
      <c r="D5" s="5">
        <v>14</v>
      </c>
      <c r="E5">
        <v>0</v>
      </c>
      <c r="F5" s="5" t="s">
        <v>133</v>
      </c>
      <c r="G5" s="5" t="s">
        <v>135</v>
      </c>
    </row>
    <row r="6" spans="1:7" x14ac:dyDescent="0.3">
      <c r="A6" s="5" t="s">
        <v>124</v>
      </c>
      <c r="B6" s="5" t="s">
        <v>125</v>
      </c>
      <c r="C6" s="5">
        <f t="shared" si="0"/>
        <v>48</v>
      </c>
      <c r="D6" s="5">
        <v>16</v>
      </c>
      <c r="F6" s="5" t="s">
        <v>134</v>
      </c>
      <c r="G6" s="5" t="s">
        <v>126</v>
      </c>
    </row>
    <row r="7" spans="1:7" x14ac:dyDescent="0.3">
      <c r="A7" s="5" t="s">
        <v>124</v>
      </c>
      <c r="B7" s="5" t="s">
        <v>119</v>
      </c>
      <c r="C7" s="5">
        <f t="shared" si="0"/>
        <v>64</v>
      </c>
      <c r="D7" s="5">
        <v>16</v>
      </c>
      <c r="E7" s="10" t="s">
        <v>152</v>
      </c>
      <c r="F7" s="5" t="s">
        <v>129</v>
      </c>
      <c r="G7" s="5"/>
    </row>
    <row r="8" spans="1:7" x14ac:dyDescent="0.3">
      <c r="A8" s="5" t="s">
        <v>127</v>
      </c>
      <c r="B8" s="5" t="s">
        <v>146</v>
      </c>
      <c r="C8" s="5">
        <f t="shared" si="0"/>
        <v>80</v>
      </c>
      <c r="D8" s="5">
        <v>32</v>
      </c>
      <c r="E8" s="5"/>
      <c r="F8" s="5"/>
      <c r="G8" s="5"/>
    </row>
    <row r="9" spans="1:7" x14ac:dyDescent="0.3">
      <c r="A9" s="5" t="s">
        <v>127</v>
      </c>
      <c r="B9" s="5" t="s">
        <v>147</v>
      </c>
      <c r="C9" s="5">
        <f t="shared" si="0"/>
        <v>112</v>
      </c>
      <c r="D9" s="5">
        <v>32</v>
      </c>
      <c r="E9" s="5"/>
      <c r="F9" s="5"/>
      <c r="G9" s="5"/>
    </row>
    <row r="10" spans="1:7" ht="28" x14ac:dyDescent="0.3">
      <c r="A10" s="5" t="s">
        <v>127</v>
      </c>
      <c r="B10" s="5" t="s">
        <v>128</v>
      </c>
      <c r="C10" s="5">
        <f t="shared" si="0"/>
        <v>144</v>
      </c>
      <c r="D10" s="5">
        <v>16</v>
      </c>
      <c r="E10" s="5"/>
      <c r="F10" s="5"/>
      <c r="G10" s="5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固定地址参数注入1</vt:lpstr>
      <vt:lpstr>帧格式参考(CCSDS)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焦林鹏</dc:creator>
  <cp:lastModifiedBy>林鹏 焦</cp:lastModifiedBy>
  <dcterms:created xsi:type="dcterms:W3CDTF">2015-06-05T18:19:34Z</dcterms:created>
  <dcterms:modified xsi:type="dcterms:W3CDTF">2026-06-12T12:57:40Z</dcterms:modified>
</cp:coreProperties>
</file>